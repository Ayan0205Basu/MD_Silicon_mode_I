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paper I\"/>
    </mc:Choice>
  </mc:AlternateContent>
  <xr:revisionPtr revIDLastSave="0" documentId="13_ncr:1_{B8DE2EDD-C237-4C57-A3A7-CBEF7DE1D036}" xr6:coauthVersionLast="47" xr6:coauthVersionMax="47" xr10:uidLastSave="{00000000-0000-0000-0000-000000000000}"/>
  <bookViews>
    <workbookView xWindow="28680" yWindow="-120" windowWidth="29040" windowHeight="15990" activeTab="2" xr2:uid="{00000000-000D-0000-FFFF-FFFF00000000}"/>
  </bookViews>
  <sheets>
    <sheet name="267" sheetId="1" r:id="rId1"/>
    <sheet name="2799" sheetId="2" r:id="rId2"/>
    <sheet name="23307" sheetId="3" r:id="rId3"/>
  </sheets>
  <definedNames>
    <definedName name="_xlnm._FilterDatabase" localSheetId="2" hidden="1">'23307'!$A$1:$G$82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  <c r="H8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2" i="3"/>
  <c r="H3" i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<sst xmlns="http://schemas.openxmlformats.org/spreadsheetml/2006/main" count="24" uniqueCount="7">
  <si>
    <t>id</t>
  </si>
  <si>
    <t>sitain_22</t>
  </si>
  <si>
    <t>X</t>
  </si>
  <si>
    <t>Y</t>
  </si>
  <si>
    <t>strain_11</t>
  </si>
  <si>
    <t>strain_12</t>
  </si>
  <si>
    <t>sig_22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</si>
</sst>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I30" sqref="I3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830</v>
      </c>
      <c r="B2" s="1">
        <v>8.0569000000000002E-2</v>
      </c>
      <c r="C2" s="1">
        <v>830</v>
      </c>
      <c r="D2" s="1">
        <v>378.08280000000002</v>
      </c>
      <c r="E2" s="1">
        <v>2715.4450000000002</v>
      </c>
      <c r="F2">
        <v>1.38113E-2</v>
      </c>
      <c r="G2">
        <v>3.7896129999999998E-3</v>
      </c>
      <c r="H2">
        <f>B2*151.42447925059+F2*76.422084287888</f>
        <v>13.255607201466093</v>
      </c>
    </row>
    <row r="3" spans="1:8" x14ac:dyDescent="0.25">
      <c r="A3" s="1">
        <v>832</v>
      </c>
      <c r="B3" s="1">
        <v>5.3286E-2</v>
      </c>
      <c r="C3" s="1">
        <v>832</v>
      </c>
      <c r="D3" s="1">
        <v>404.23989999999998</v>
      </c>
      <c r="E3" s="1">
        <v>2716.9059999999999</v>
      </c>
      <c r="F3">
        <v>-5.1986879999999999E-3</v>
      </c>
      <c r="G3">
        <v>3.6426039999999998E-3</v>
      </c>
      <c r="H3">
        <f t="shared" ref="H3:H10" si="0">B3*151.42447925059+F3*76.422084287888</f>
        <v>7.6715102288245074</v>
      </c>
    </row>
    <row r="4" spans="1:8" x14ac:dyDescent="0.25">
      <c r="A4" s="1">
        <v>17</v>
      </c>
      <c r="B4" s="1">
        <v>5.1444999999999998E-2</v>
      </c>
      <c r="C4" s="1">
        <v>17</v>
      </c>
      <c r="D4" s="1">
        <v>416.20389999999998</v>
      </c>
      <c r="E4" s="1">
        <v>2717.3270000000002</v>
      </c>
      <c r="F4">
        <v>-4.1896210000000001E-3</v>
      </c>
      <c r="G4">
        <v>3.2859439999999998E-3</v>
      </c>
      <c r="H4">
        <f t="shared" si="0"/>
        <v>7.4698527658502964</v>
      </c>
    </row>
    <row r="5" spans="1:8" x14ac:dyDescent="0.25">
      <c r="A5" s="1">
        <v>313</v>
      </c>
      <c r="B5" s="1">
        <v>4.6177000000000003E-2</v>
      </c>
      <c r="C5" s="1">
        <v>313</v>
      </c>
      <c r="D5" s="1">
        <v>446.95620000000002</v>
      </c>
      <c r="E5" s="1">
        <v>2719.085</v>
      </c>
      <c r="F5">
        <v>-6.7545799999999996E-3</v>
      </c>
      <c r="G5">
        <v>2.6221949999999999E-3</v>
      </c>
      <c r="H5">
        <f t="shared" si="0"/>
        <v>6.476129096265212</v>
      </c>
    </row>
    <row r="6" spans="1:8" x14ac:dyDescent="0.25">
      <c r="A6" s="1">
        <v>410</v>
      </c>
      <c r="B6" s="1">
        <v>3.8336000000000002E-2</v>
      </c>
      <c r="C6" s="1">
        <v>410</v>
      </c>
      <c r="D6" s="1">
        <v>557.35619999999994</v>
      </c>
      <c r="E6" s="1">
        <v>2722.261</v>
      </c>
      <c r="F6">
        <v>-1.1976212999999999E-2</v>
      </c>
      <c r="G6">
        <v>1.054363E-3</v>
      </c>
      <c r="H6">
        <f t="shared" si="0"/>
        <v>4.8897616772149179</v>
      </c>
    </row>
    <row r="7" spans="1:8" x14ac:dyDescent="0.25">
      <c r="A7" s="1">
        <v>135</v>
      </c>
      <c r="B7" s="1">
        <v>3.6159999999999998E-2</v>
      </c>
      <c r="C7" s="1">
        <v>135</v>
      </c>
      <c r="D7" s="1">
        <v>637.00379999999996</v>
      </c>
      <c r="E7" s="1">
        <v>2723.6790000000001</v>
      </c>
      <c r="F7">
        <v>-1.3263769999999999E-2</v>
      </c>
      <c r="G7">
        <v>4.1295299999999997E-4</v>
      </c>
      <c r="H7">
        <f t="shared" si="0"/>
        <v>4.4618642207861736</v>
      </c>
    </row>
    <row r="8" spans="1:8" x14ac:dyDescent="0.25">
      <c r="A8" s="1">
        <v>407</v>
      </c>
      <c r="B8" s="1">
        <v>3.5000000000000003E-2</v>
      </c>
      <c r="C8" s="1">
        <v>407</v>
      </c>
      <c r="D8" s="1">
        <v>747.18010000000004</v>
      </c>
      <c r="E8" s="1">
        <v>2724.8249999999998</v>
      </c>
      <c r="F8">
        <v>-1.5309713000000001E-2</v>
      </c>
      <c r="G8">
        <v>2.7631500000000001E-4</v>
      </c>
      <c r="H8">
        <f t="shared" si="0"/>
        <v>4.1298565964612752</v>
      </c>
    </row>
    <row r="9" spans="1:8" x14ac:dyDescent="0.25">
      <c r="A9" s="1">
        <v>405</v>
      </c>
      <c r="B9" s="1">
        <v>3.2191999999999998E-2</v>
      </c>
      <c r="C9" s="1">
        <v>405</v>
      </c>
      <c r="D9" s="1">
        <v>971.67819999999995</v>
      </c>
      <c r="E9" s="1">
        <v>2725.2890000000002</v>
      </c>
      <c r="F9">
        <v>-1.6054520999999999E-2</v>
      </c>
      <c r="G9">
        <v>1.28973E-4</v>
      </c>
      <c r="H9">
        <f t="shared" si="0"/>
        <v>3.6477368789713251</v>
      </c>
    </row>
    <row r="10" spans="1:8" x14ac:dyDescent="0.25">
      <c r="A10" s="1">
        <v>70</v>
      </c>
      <c r="B10" s="1">
        <v>3.0387999999999998E-2</v>
      </c>
      <c r="C10" s="1">
        <v>70</v>
      </c>
      <c r="D10" s="1">
        <v>1086</v>
      </c>
      <c r="E10" s="1">
        <v>2720.587</v>
      </c>
      <c r="F10">
        <v>-1.4865655E-2</v>
      </c>
      <c r="G10" s="2">
        <v>5.1600000000000001E-5</v>
      </c>
      <c r="H10">
        <f t="shared" si="0"/>
        <v>3.4654227360622647</v>
      </c>
    </row>
  </sheetData>
  <sortState xmlns:xlrd2="http://schemas.microsoft.com/office/spreadsheetml/2017/richdata2" ref="A2:E10">
    <sortCondition ref="D2:D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D9FF-1C38-43D3-B778-7EDD15DDA893}">
  <dimension ref="A1:H36"/>
  <sheetViews>
    <sheetView workbookViewId="0">
      <selection activeCell="F7" sqref="F5:F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2878</v>
      </c>
      <c r="B2" s="1">
        <v>7.2094000000000005E-2</v>
      </c>
      <c r="C2" s="1">
        <v>2878</v>
      </c>
      <c r="D2" s="1">
        <v>392.71190000000001</v>
      </c>
      <c r="E2" s="1">
        <v>2716.527</v>
      </c>
      <c r="F2">
        <v>-7.4205900000000003E-3</v>
      </c>
      <c r="G2">
        <v>4.2306369999999998E-3</v>
      </c>
      <c r="H2">
        <f>B2*151.42447925059+F2*76.422084287888</f>
        <v>10.349699452646178</v>
      </c>
    </row>
    <row r="3" spans="1:8" x14ac:dyDescent="0.25">
      <c r="A3" s="1">
        <v>8583</v>
      </c>
      <c r="B3" s="1">
        <v>6.4783999999999994E-2</v>
      </c>
      <c r="C3" s="1">
        <v>8583</v>
      </c>
      <c r="D3" s="1">
        <v>398.29489999999998</v>
      </c>
      <c r="E3" s="1">
        <v>2716.8820000000001</v>
      </c>
      <c r="F3">
        <v>-7.4205900000000003E-3</v>
      </c>
      <c r="G3">
        <v>3.65621E-3</v>
      </c>
      <c r="H3">
        <f t="shared" ref="H3:H36" si="0">B3*151.42447925059+F3*76.422084287888</f>
        <v>9.2427865093243629</v>
      </c>
    </row>
    <row r="4" spans="1:8" x14ac:dyDescent="0.25">
      <c r="A4" s="1">
        <v>2879</v>
      </c>
      <c r="B4" s="1">
        <v>5.5428999999999999E-2</v>
      </c>
      <c r="C4" s="1">
        <v>2879</v>
      </c>
      <c r="D4" s="1">
        <v>403.87790000000001</v>
      </c>
      <c r="E4" s="1">
        <v>2717.2359999999999</v>
      </c>
      <c r="F4">
        <v>-1.408683E-3</v>
      </c>
      <c r="G4">
        <v>3.8452500000000001E-3</v>
      </c>
      <c r="H4">
        <f t="shared" si="0"/>
        <v>8.2856529694200383</v>
      </c>
    </row>
    <row r="5" spans="1:8" x14ac:dyDescent="0.25">
      <c r="A5" s="1">
        <v>24</v>
      </c>
      <c r="B5" s="1">
        <v>5.2551E-2</v>
      </c>
      <c r="C5" s="1">
        <v>24</v>
      </c>
      <c r="D5" s="1">
        <v>416.15449999999998</v>
      </c>
      <c r="E5" s="1">
        <v>2718.1260000000002</v>
      </c>
      <c r="F5">
        <v>-7.5906949999999997E-3</v>
      </c>
      <c r="G5">
        <v>3.426353E-3</v>
      </c>
      <c r="H5">
        <f t="shared" si="0"/>
        <v>7.3774110760041047</v>
      </c>
    </row>
    <row r="6" spans="1:8" x14ac:dyDescent="0.25">
      <c r="A6" s="1">
        <v>2954</v>
      </c>
      <c r="B6" s="1">
        <v>4.9762000000000001E-2</v>
      </c>
      <c r="C6" s="1">
        <v>2954</v>
      </c>
      <c r="D6" s="1">
        <v>426.36430000000001</v>
      </c>
      <c r="E6" s="1">
        <v>2718.5039999999999</v>
      </c>
      <c r="F6">
        <v>-7.5906949999999997E-3</v>
      </c>
      <c r="G6">
        <v>3.0920729999999999E-3</v>
      </c>
      <c r="H6">
        <f t="shared" si="0"/>
        <v>6.9550882033742099</v>
      </c>
    </row>
    <row r="7" spans="1:8" x14ac:dyDescent="0.25">
      <c r="A7" s="1">
        <v>340</v>
      </c>
      <c r="B7" s="1">
        <v>4.7062E-2</v>
      </c>
      <c r="C7" s="1">
        <v>340</v>
      </c>
      <c r="D7" s="1">
        <v>436.57409999999999</v>
      </c>
      <c r="E7" s="1">
        <v>2718.8809999999999</v>
      </c>
      <c r="F7">
        <v>-7.5906949999999997E-3</v>
      </c>
      <c r="G7">
        <v>2.7800979999999999E-3</v>
      </c>
      <c r="H7">
        <f t="shared" si="0"/>
        <v>6.5462421093976166</v>
      </c>
    </row>
    <row r="8" spans="1:8" x14ac:dyDescent="0.25">
      <c r="A8" s="1">
        <v>2951</v>
      </c>
      <c r="B8" s="1">
        <v>4.5782999999999997E-2</v>
      </c>
      <c r="C8" s="1">
        <v>2951</v>
      </c>
      <c r="D8" s="1">
        <v>446.1078</v>
      </c>
      <c r="E8" s="1">
        <v>2719.4430000000002</v>
      </c>
      <c r="F8">
        <v>-7.512477E-3</v>
      </c>
      <c r="G8">
        <v>2.6252250000000001E-3</v>
      </c>
      <c r="H8">
        <f t="shared" si="0"/>
        <v>6.3585477830249415</v>
      </c>
    </row>
    <row r="9" spans="1:8" x14ac:dyDescent="0.25">
      <c r="A9" s="1">
        <v>339</v>
      </c>
      <c r="B9" s="1">
        <v>4.4437999999999998E-2</v>
      </c>
      <c r="C9" s="1">
        <v>339</v>
      </c>
      <c r="D9" s="1">
        <v>455.64150000000001</v>
      </c>
      <c r="E9" s="1">
        <v>2720.0039999999999</v>
      </c>
      <c r="F9">
        <v>-7.512477E-3</v>
      </c>
      <c r="G9">
        <v>2.461263E-3</v>
      </c>
      <c r="H9">
        <f t="shared" si="0"/>
        <v>6.1548818584328986</v>
      </c>
    </row>
    <row r="10" spans="1:8" x14ac:dyDescent="0.25">
      <c r="A10" s="1">
        <v>2947</v>
      </c>
      <c r="B10" s="1">
        <v>4.3326999999999997E-2</v>
      </c>
      <c r="C10" s="1">
        <v>2947</v>
      </c>
      <c r="D10" s="1">
        <v>466.65730000000002</v>
      </c>
      <c r="E10" s="1">
        <v>2720.7289999999998</v>
      </c>
      <c r="F10">
        <v>-8.9562800000000005E-3</v>
      </c>
      <c r="G10">
        <v>2.3687669999999999E-3</v>
      </c>
      <c r="H10">
        <f t="shared" si="0"/>
        <v>5.8763108274243869</v>
      </c>
    </row>
    <row r="11" spans="1:8" x14ac:dyDescent="0.25">
      <c r="A11" s="1">
        <v>54</v>
      </c>
      <c r="B11" s="1">
        <v>4.2202000000000003E-2</v>
      </c>
      <c r="C11" s="1">
        <v>54</v>
      </c>
      <c r="D11" s="1">
        <v>477.67309999999998</v>
      </c>
      <c r="E11" s="1">
        <v>2721.4540000000002</v>
      </c>
      <c r="F11">
        <v>-9.7581370000000001E-3</v>
      </c>
      <c r="G11">
        <v>2.2934069999999999E-3</v>
      </c>
      <c r="H11">
        <f t="shared" si="0"/>
        <v>5.6446787050266405</v>
      </c>
    </row>
    <row r="12" spans="1:8" x14ac:dyDescent="0.25">
      <c r="A12" s="1">
        <v>3587</v>
      </c>
      <c r="B12" s="1">
        <v>4.1096000000000001E-2</v>
      </c>
      <c r="C12" s="1">
        <v>3587</v>
      </c>
      <c r="D12" s="1">
        <v>494.9667</v>
      </c>
      <c r="E12" s="1">
        <v>2722.1640000000002</v>
      </c>
      <c r="F12">
        <v>-1.0631949999999999E-2</v>
      </c>
      <c r="G12">
        <v>2.1398469999999998E-3</v>
      </c>
      <c r="H12">
        <f t="shared" si="0"/>
        <v>5.4104246202376363</v>
      </c>
    </row>
    <row r="13" spans="1:8" x14ac:dyDescent="0.25">
      <c r="A13" s="1">
        <v>441</v>
      </c>
      <c r="B13" s="1">
        <v>4.0017999999999998E-2</v>
      </c>
      <c r="C13" s="1">
        <v>441</v>
      </c>
      <c r="D13" s="1">
        <v>512.26020000000005</v>
      </c>
      <c r="E13" s="1">
        <v>2722.8739999999998</v>
      </c>
      <c r="F13">
        <v>-1.1172825000000001E-2</v>
      </c>
      <c r="G13">
        <v>1.6982080000000001E-3</v>
      </c>
      <c r="H13">
        <f t="shared" si="0"/>
        <v>5.2058542367662888</v>
      </c>
    </row>
    <row r="14" spans="1:8" x14ac:dyDescent="0.25">
      <c r="A14" s="1">
        <v>3585</v>
      </c>
      <c r="B14" s="1">
        <v>3.9328000000000002E-2</v>
      </c>
      <c r="C14" s="1">
        <v>3585</v>
      </c>
      <c r="D14" s="1">
        <v>528.90009999999995</v>
      </c>
      <c r="E14" s="1">
        <v>2722.6390000000001</v>
      </c>
      <c r="F14">
        <v>-1.05702E-2</v>
      </c>
      <c r="G14">
        <v>1.4155070000000001E-3</v>
      </c>
      <c r="H14">
        <f t="shared" si="0"/>
        <v>5.1474252046273694</v>
      </c>
    </row>
    <row r="15" spans="1:8" x14ac:dyDescent="0.25">
      <c r="A15" s="1">
        <v>440</v>
      </c>
      <c r="B15" s="1">
        <v>3.8623999999999999E-2</v>
      </c>
      <c r="C15" s="1">
        <v>440</v>
      </c>
      <c r="D15" s="1">
        <v>545.54</v>
      </c>
      <c r="E15" s="1">
        <v>2722.4029999999998</v>
      </c>
      <c r="F15">
        <v>-1.1319600000000001E-2</v>
      </c>
      <c r="G15">
        <v>1.1018289999999999E-3</v>
      </c>
      <c r="H15">
        <f t="shared" si="0"/>
        <v>4.9835516612696109</v>
      </c>
    </row>
    <row r="16" spans="1:8" x14ac:dyDescent="0.25">
      <c r="A16" s="1">
        <v>3583</v>
      </c>
      <c r="B16" s="1">
        <v>3.8018999999999997E-2</v>
      </c>
      <c r="C16" s="1">
        <v>3583</v>
      </c>
      <c r="D16" s="1">
        <v>566.43700000000001</v>
      </c>
      <c r="E16" s="1">
        <v>2721.8049999999998</v>
      </c>
      <c r="F16">
        <v>-1.1973266999999999E-2</v>
      </c>
      <c r="G16">
        <v>8.7420499999999997E-4</v>
      </c>
      <c r="H16">
        <f t="shared" si="0"/>
        <v>4.8419852567527926</v>
      </c>
    </row>
    <row r="17" spans="1:8" x14ac:dyDescent="0.25">
      <c r="A17" s="1">
        <v>439</v>
      </c>
      <c r="B17" s="1">
        <v>3.7416999999999999E-2</v>
      </c>
      <c r="C17" s="1">
        <v>439</v>
      </c>
      <c r="D17" s="1">
        <v>587.33389999999997</v>
      </c>
      <c r="E17" s="1">
        <v>2721.2069999999999</v>
      </c>
      <c r="F17">
        <v>-1.2783266999999999E-2</v>
      </c>
      <c r="G17">
        <v>6.8345700000000005E-4</v>
      </c>
      <c r="H17">
        <f t="shared" si="0"/>
        <v>4.6889258319707485</v>
      </c>
    </row>
    <row r="18" spans="1:8" x14ac:dyDescent="0.25">
      <c r="A18" s="1">
        <v>3581</v>
      </c>
      <c r="B18" s="1">
        <v>3.6977999999999997E-2</v>
      </c>
      <c r="C18" s="1">
        <v>3581</v>
      </c>
      <c r="D18" s="1">
        <v>608.55449999999996</v>
      </c>
      <c r="E18" s="1">
        <v>2718.4389999999999</v>
      </c>
      <c r="F18">
        <v>-1.3234733E-2</v>
      </c>
      <c r="G18">
        <v>5.5296900000000005E-4</v>
      </c>
      <c r="H18">
        <f t="shared" si="0"/>
        <v>4.5879485128746236</v>
      </c>
    </row>
    <row r="19" spans="1:8" x14ac:dyDescent="0.25">
      <c r="A19" s="1">
        <v>438</v>
      </c>
      <c r="B19" s="1">
        <v>3.6533999999999997E-2</v>
      </c>
      <c r="C19" s="1">
        <v>438</v>
      </c>
      <c r="D19" s="1">
        <v>629.77509999999995</v>
      </c>
      <c r="E19" s="1">
        <v>2715.6709999999998</v>
      </c>
      <c r="F19">
        <v>-1.3628233E-2</v>
      </c>
      <c r="G19">
        <v>4.7922500000000001E-4</v>
      </c>
      <c r="H19">
        <f t="shared" si="0"/>
        <v>4.4906439539200775</v>
      </c>
    </row>
    <row r="20" spans="1:8" x14ac:dyDescent="0.25">
      <c r="A20" s="1">
        <v>3579</v>
      </c>
      <c r="B20" s="1">
        <v>3.6166999999999998E-2</v>
      </c>
      <c r="C20" s="1">
        <v>3579</v>
      </c>
      <c r="D20" s="1">
        <v>655.51779999999997</v>
      </c>
      <c r="E20" s="1">
        <v>2717.0459999999998</v>
      </c>
      <c r="F20">
        <v>-1.0537617000000001E-2</v>
      </c>
      <c r="G20">
        <v>3.9792099999999997E-4</v>
      </c>
      <c r="H20">
        <f t="shared" si="0"/>
        <v>4.6712624864886063</v>
      </c>
    </row>
    <row r="21" spans="1:8" x14ac:dyDescent="0.25">
      <c r="A21" s="1">
        <v>437</v>
      </c>
      <c r="B21" s="1">
        <v>3.5813999999999999E-2</v>
      </c>
      <c r="C21" s="1">
        <v>437</v>
      </c>
      <c r="D21" s="1">
        <v>681.2604</v>
      </c>
      <c r="E21" s="1">
        <v>2718.4209999999998</v>
      </c>
      <c r="F21">
        <v>-1.4083366999999999E-2</v>
      </c>
      <c r="G21">
        <v>3.3767399999999999E-4</v>
      </c>
      <c r="H21">
        <f t="shared" si="0"/>
        <v>4.3468360399493697</v>
      </c>
    </row>
    <row r="22" spans="1:8" x14ac:dyDescent="0.25">
      <c r="A22" s="1">
        <v>3577</v>
      </c>
      <c r="B22" s="1">
        <v>3.551E-2</v>
      </c>
      <c r="C22" s="1">
        <v>3577</v>
      </c>
      <c r="D22" s="1">
        <v>706.9692</v>
      </c>
      <c r="E22" s="1">
        <v>2720.3629999999998</v>
      </c>
      <c r="F22">
        <v>-1.48349E-2</v>
      </c>
      <c r="G22">
        <v>2.9697799999999999E-4</v>
      </c>
      <c r="H22">
        <f t="shared" si="0"/>
        <v>4.2433692799860614</v>
      </c>
    </row>
    <row r="23" spans="1:8" x14ac:dyDescent="0.25">
      <c r="A23" s="1">
        <v>398</v>
      </c>
      <c r="B23" s="1">
        <v>3.5195999999999998E-2</v>
      </c>
      <c r="C23" s="1">
        <v>398</v>
      </c>
      <c r="D23" s="1">
        <v>732.67819999999995</v>
      </c>
      <c r="E23" s="1">
        <v>2722.3040000000001</v>
      </c>
      <c r="F23">
        <v>-1.50887E-2</v>
      </c>
      <c r="G23">
        <v>2.77908E-4</v>
      </c>
      <c r="H23">
        <f t="shared" si="0"/>
        <v>4.1764260685091097</v>
      </c>
    </row>
    <row r="24" spans="1:8" x14ac:dyDescent="0.25">
      <c r="A24" s="1">
        <v>3575</v>
      </c>
      <c r="B24" s="1">
        <v>3.4924999999999998E-2</v>
      </c>
      <c r="C24" s="1">
        <v>3575</v>
      </c>
      <c r="D24" s="1">
        <v>758.04520000000002</v>
      </c>
      <c r="E24" s="1">
        <v>2723.0259999999998</v>
      </c>
      <c r="F24">
        <v>-1.53435E-2</v>
      </c>
      <c r="G24">
        <v>2.5405799999999999E-4</v>
      </c>
      <c r="H24">
        <f t="shared" si="0"/>
        <v>4.1159176875556458</v>
      </c>
    </row>
    <row r="25" spans="1:8" x14ac:dyDescent="0.25">
      <c r="A25" s="1">
        <v>436</v>
      </c>
      <c r="B25" s="1">
        <v>3.4652000000000002E-2</v>
      </c>
      <c r="C25" s="1">
        <v>436</v>
      </c>
      <c r="D25" s="1">
        <v>783.41219999999998</v>
      </c>
      <c r="E25" s="1">
        <v>2723.7489999999998</v>
      </c>
      <c r="F25">
        <v>-1.5553633000000001E-2</v>
      </c>
      <c r="G25">
        <v>2.3498900000000001E-4</v>
      </c>
      <c r="H25">
        <f t="shared" si="0"/>
        <v>4.0585200028825685</v>
      </c>
    </row>
    <row r="26" spans="1:8" x14ac:dyDescent="0.25">
      <c r="A26" s="1">
        <v>3573</v>
      </c>
      <c r="B26" s="1">
        <v>3.4382999999999997E-2</v>
      </c>
      <c r="C26" s="1">
        <v>3573</v>
      </c>
      <c r="D26" s="1">
        <v>808.34079999999994</v>
      </c>
      <c r="E26" s="1">
        <v>2724.1509999999998</v>
      </c>
      <c r="F26">
        <v>-1.5727833E-2</v>
      </c>
      <c r="G26">
        <v>2.15112E-4</v>
      </c>
      <c r="H26">
        <f t="shared" si="0"/>
        <v>4.0044740908812093</v>
      </c>
    </row>
    <row r="27" spans="1:8" x14ac:dyDescent="0.25">
      <c r="A27" s="1">
        <v>435</v>
      </c>
      <c r="B27" s="1">
        <v>3.4113999999999998E-2</v>
      </c>
      <c r="C27" s="1">
        <v>435</v>
      </c>
      <c r="D27" s="1">
        <v>833.26930000000004</v>
      </c>
      <c r="E27" s="1">
        <v>2724.5540000000001</v>
      </c>
      <c r="F27">
        <v>-1.5866532999999999E-2</v>
      </c>
      <c r="G27">
        <v>2.0140100000000001E-4</v>
      </c>
      <c r="H27">
        <f t="shared" si="0"/>
        <v>3.9531411628720701</v>
      </c>
    </row>
    <row r="28" spans="1:8" x14ac:dyDescent="0.25">
      <c r="A28" s="1">
        <v>434</v>
      </c>
      <c r="B28" s="1">
        <v>3.354E-2</v>
      </c>
      <c r="C28" s="1">
        <v>434</v>
      </c>
      <c r="D28" s="1">
        <v>883.25869999999998</v>
      </c>
      <c r="E28" s="1">
        <v>2724.723</v>
      </c>
      <c r="F28">
        <v>-1.6050720000000001E-2</v>
      </c>
      <c r="G28">
        <v>1.69801E-4</v>
      </c>
      <c r="H28">
        <f t="shared" si="0"/>
        <v>3.8521475573434989</v>
      </c>
    </row>
    <row r="29" spans="1:8" x14ac:dyDescent="0.25">
      <c r="A29" s="1">
        <v>3569</v>
      </c>
      <c r="B29" s="1">
        <v>3.3217999999999998E-2</v>
      </c>
      <c r="C29" s="1">
        <v>3569</v>
      </c>
      <c r="D29" s="1">
        <v>908.41560000000004</v>
      </c>
      <c r="E29" s="1">
        <v>2724.6909999999998</v>
      </c>
      <c r="F29">
        <v>-1.6087150000000001E-2</v>
      </c>
      <c r="G29">
        <v>1.5519700000000001E-4</v>
      </c>
      <c r="H29">
        <f t="shared" si="0"/>
        <v>3.8006048184942003</v>
      </c>
    </row>
    <row r="30" spans="1:8" x14ac:dyDescent="0.25">
      <c r="A30" s="1">
        <v>433</v>
      </c>
      <c r="B30" s="1">
        <v>3.2896000000000002E-2</v>
      </c>
      <c r="C30" s="1">
        <v>433</v>
      </c>
      <c r="D30" s="1">
        <v>933.57270000000005</v>
      </c>
      <c r="E30" s="1">
        <v>2724.6590000000001</v>
      </c>
      <c r="F30">
        <v>-1.6090433000000001E-2</v>
      </c>
      <c r="G30">
        <v>1.4200399999999999E-4</v>
      </c>
      <c r="H30">
        <f t="shared" si="0"/>
        <v>3.7515952424727947</v>
      </c>
    </row>
    <row r="31" spans="1:8" x14ac:dyDescent="0.25">
      <c r="A31" s="1">
        <v>3567</v>
      </c>
      <c r="B31" s="1">
        <v>3.2517999999999998E-2</v>
      </c>
      <c r="C31" s="1">
        <v>3567</v>
      </c>
      <c r="D31" s="1">
        <v>959.21889999999996</v>
      </c>
      <c r="E31" s="1">
        <v>2724.63</v>
      </c>
      <c r="F31">
        <v>-1.6058099999999999E-2</v>
      </c>
      <c r="G31">
        <v>1.20796E-4</v>
      </c>
      <c r="H31">
        <f t="shared" si="0"/>
        <v>3.6968277445673516</v>
      </c>
    </row>
    <row r="32" spans="1:8" x14ac:dyDescent="0.25">
      <c r="A32" s="1">
        <v>432</v>
      </c>
      <c r="B32" s="1">
        <v>3.2140000000000002E-2</v>
      </c>
      <c r="C32" s="1">
        <v>432</v>
      </c>
      <c r="D32" s="1">
        <v>984.86500000000001</v>
      </c>
      <c r="E32" s="1">
        <v>2724.6010000000001</v>
      </c>
      <c r="F32">
        <v>-1.5986199999999999E-2</v>
      </c>
      <c r="G32" s="2">
        <v>9.78964E-5</v>
      </c>
      <c r="H32">
        <f t="shared" si="0"/>
        <v>3.6450840392709276</v>
      </c>
    </row>
    <row r="33" spans="1:8" x14ac:dyDescent="0.25">
      <c r="A33" s="1">
        <v>3565</v>
      </c>
      <c r="B33" s="1">
        <v>3.1705999999999998E-2</v>
      </c>
      <c r="C33" s="1">
        <v>3565</v>
      </c>
      <c r="D33" s="1">
        <v>1010.152</v>
      </c>
      <c r="E33" s="1">
        <v>2724.5259999999998</v>
      </c>
      <c r="F33">
        <v>-1.5875199999999999E-2</v>
      </c>
      <c r="G33" s="2">
        <v>7.4400000000000006E-5</v>
      </c>
      <c r="H33">
        <f t="shared" si="0"/>
        <v>3.587848666632127</v>
      </c>
    </row>
    <row r="34" spans="1:8" x14ac:dyDescent="0.25">
      <c r="A34" s="1">
        <v>431</v>
      </c>
      <c r="B34" s="1">
        <v>3.1272000000000001E-2</v>
      </c>
      <c r="C34" s="1">
        <v>431</v>
      </c>
      <c r="D34" s="1">
        <v>1035.44</v>
      </c>
      <c r="E34" s="1">
        <v>2724.451</v>
      </c>
      <c r="F34">
        <v>-1.5013187000000001E-2</v>
      </c>
      <c r="G34" s="2">
        <v>5.1100000000000002E-5</v>
      </c>
      <c r="H34">
        <f t="shared" si="0"/>
        <v>3.5880072727806267</v>
      </c>
    </row>
    <row r="35" spans="1:8" x14ac:dyDescent="0.25">
      <c r="A35" s="1">
        <v>3563</v>
      </c>
      <c r="B35" s="1">
        <v>3.0766999999999999E-2</v>
      </c>
      <c r="C35" s="1">
        <v>3563</v>
      </c>
      <c r="D35" s="1">
        <v>1060.72</v>
      </c>
      <c r="E35" s="1">
        <v>2724.3820000000001</v>
      </c>
      <c r="F35">
        <v>-1.4124100000000001E-2</v>
      </c>
      <c r="G35" s="2">
        <v>2.6299999999999999E-5</v>
      </c>
      <c r="H35">
        <f t="shared" si="0"/>
        <v>3.5794837924123435</v>
      </c>
    </row>
    <row r="36" spans="1:8" x14ac:dyDescent="0.25">
      <c r="A36" s="1">
        <v>147</v>
      </c>
      <c r="B36" s="1">
        <v>3.0262000000000001E-2</v>
      </c>
      <c r="C36" s="1">
        <v>147</v>
      </c>
      <c r="D36" s="1">
        <v>1086</v>
      </c>
      <c r="E36" s="1">
        <v>2724.3130000000001</v>
      </c>
      <c r="F36">
        <v>-1.4450133E-2</v>
      </c>
      <c r="G36" s="2">
        <v>5.4700000000000001E-5</v>
      </c>
      <c r="H36">
        <f t="shared" si="0"/>
        <v>3.4780983089841628</v>
      </c>
    </row>
  </sheetData>
  <sortState xmlns:xlrd2="http://schemas.microsoft.com/office/spreadsheetml/2017/richdata2" ref="A2:E36">
    <sortCondition ref="D2:D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B521-7DD9-4B0A-92D9-8233D0556988}">
  <dimension ref="A1:H81"/>
  <sheetViews>
    <sheetView tabSelected="1" topLeftCell="A28" workbookViewId="0">
      <selection activeCell="K36" sqref="K3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23672</v>
      </c>
      <c r="B2" s="1">
        <v>7.2034000000000001E-2</v>
      </c>
      <c r="C2" s="1">
        <v>23672</v>
      </c>
      <c r="D2" s="1">
        <v>392.80239999999998</v>
      </c>
      <c r="E2" s="1">
        <v>2716.5949999999998</v>
      </c>
      <c r="F2">
        <v>-1.41355E-2</v>
      </c>
      <c r="G2">
        <v>4.4812100000000002E-3</v>
      </c>
      <c r="H2">
        <f>B2*151.42447925059+F2*76.422084287888</f>
        <v>9.827446565885559</v>
      </c>
    </row>
    <row r="3" spans="1:8" x14ac:dyDescent="0.25">
      <c r="A3" s="1">
        <v>23673</v>
      </c>
      <c r="B3" s="1">
        <v>5.5433000000000003E-2</v>
      </c>
      <c r="C3" s="1">
        <v>23673</v>
      </c>
      <c r="D3" s="1">
        <v>403.8904</v>
      </c>
      <c r="E3" s="1">
        <v>2717.31</v>
      </c>
      <c r="F3">
        <v>-1.2783299999999999E-2</v>
      </c>
      <c r="G3">
        <v>4.3457799999999996E-3</v>
      </c>
      <c r="H3">
        <f t="shared" ref="H3:H66" si="0">B3*151.42447925059+F3*76.422084287888</f>
        <v>7.4169867282205972</v>
      </c>
    </row>
    <row r="4" spans="1:8" x14ac:dyDescent="0.25">
      <c r="A4" s="1">
        <v>70721</v>
      </c>
      <c r="B4" s="1">
        <v>5.4127000000000002E-2</v>
      </c>
      <c r="C4" s="1">
        <v>70721</v>
      </c>
      <c r="D4" s="1">
        <v>410.01920000000001</v>
      </c>
      <c r="E4" s="1">
        <v>2717.7640000000001</v>
      </c>
      <c r="F4">
        <v>-1.2783299999999999E-2</v>
      </c>
      <c r="G4">
        <v>3.86492E-3</v>
      </c>
      <c r="H4">
        <f t="shared" si="0"/>
        <v>7.2192263583193261</v>
      </c>
    </row>
    <row r="5" spans="1:8" x14ac:dyDescent="0.25">
      <c r="A5" s="1">
        <v>24</v>
      </c>
      <c r="B5" s="1">
        <v>5.2713999999999997E-2</v>
      </c>
      <c r="C5" s="1">
        <v>24</v>
      </c>
      <c r="D5" s="1">
        <v>416.14789999999999</v>
      </c>
      <c r="E5" s="1">
        <v>2718.2190000000001</v>
      </c>
      <c r="F5">
        <v>-1.2783299999999999E-2</v>
      </c>
      <c r="G5">
        <v>3.32505E-3</v>
      </c>
      <c r="H5">
        <f t="shared" si="0"/>
        <v>7.0052635691382426</v>
      </c>
    </row>
    <row r="6" spans="1:8" x14ac:dyDescent="0.25">
      <c r="A6" s="1">
        <v>23771</v>
      </c>
      <c r="B6" s="1">
        <v>5.0578999999999999E-2</v>
      </c>
      <c r="C6" s="1">
        <v>23771</v>
      </c>
      <c r="D6" s="1">
        <v>423.23430000000002</v>
      </c>
      <c r="E6" s="1">
        <v>2718.665</v>
      </c>
      <c r="F6">
        <v>-1.2783299999999999E-2</v>
      </c>
      <c r="G6">
        <v>3.0890900000000001E-3</v>
      </c>
      <c r="H6">
        <f t="shared" si="0"/>
        <v>6.681972305938233</v>
      </c>
    </row>
    <row r="7" spans="1:8" x14ac:dyDescent="0.25">
      <c r="A7" s="1">
        <v>933</v>
      </c>
      <c r="B7" s="1">
        <v>4.8433999999999998E-2</v>
      </c>
      <c r="C7" s="1">
        <v>933</v>
      </c>
      <c r="D7" s="1">
        <v>430.32069999999999</v>
      </c>
      <c r="E7" s="1">
        <v>2719.1109999999999</v>
      </c>
      <c r="F7">
        <v>-1.2783299999999999E-2</v>
      </c>
      <c r="G7">
        <v>2.8620799999999999E-3</v>
      </c>
      <c r="H7">
        <f t="shared" si="0"/>
        <v>6.3571667979457169</v>
      </c>
    </row>
    <row r="8" spans="1:8" x14ac:dyDescent="0.25">
      <c r="A8" s="1">
        <v>932</v>
      </c>
      <c r="B8" s="1">
        <v>4.6124999999999999E-2</v>
      </c>
      <c r="C8" s="1">
        <v>932</v>
      </c>
      <c r="D8" s="1">
        <v>443.90839999999997</v>
      </c>
      <c r="E8" s="1">
        <v>2720.2869999999998</v>
      </c>
      <c r="F8">
        <v>-1.2783299999999999E-2</v>
      </c>
      <c r="G8">
        <v>2.6216500000000001E-3</v>
      </c>
      <c r="H8">
        <f t="shared" si="0"/>
        <v>6.0075276753561049</v>
      </c>
    </row>
    <row r="9" spans="1:8" x14ac:dyDescent="0.25">
      <c r="A9" s="1">
        <v>23765</v>
      </c>
      <c r="B9" s="1">
        <v>4.5115000000000002E-2</v>
      </c>
      <c r="C9" s="1">
        <v>23765</v>
      </c>
      <c r="D9" s="1">
        <v>451.60140000000001</v>
      </c>
      <c r="E9" s="1">
        <v>2721.056</v>
      </c>
      <c r="F9">
        <v>-1.2783299999999999E-2</v>
      </c>
      <c r="G9">
        <v>2.5475699999999999E-3</v>
      </c>
      <c r="H9">
        <f t="shared" si="0"/>
        <v>5.8545889513130094</v>
      </c>
    </row>
    <row r="10" spans="1:8" x14ac:dyDescent="0.25">
      <c r="A10" s="1">
        <v>931</v>
      </c>
      <c r="B10" s="1">
        <v>4.4103000000000003E-2</v>
      </c>
      <c r="C10" s="1">
        <v>931</v>
      </c>
      <c r="D10" s="1">
        <v>459.29430000000002</v>
      </c>
      <c r="E10" s="1">
        <v>2721.8240000000001</v>
      </c>
      <c r="F10">
        <v>-1.2783299999999999E-2</v>
      </c>
      <c r="G10">
        <v>2.4696000000000002E-3</v>
      </c>
      <c r="H10">
        <f t="shared" si="0"/>
        <v>5.7013473783114126</v>
      </c>
    </row>
    <row r="11" spans="1:8" x14ac:dyDescent="0.25">
      <c r="A11" s="1">
        <v>23761</v>
      </c>
      <c r="B11" s="1">
        <v>4.3208000000000003E-2</v>
      </c>
      <c r="C11" s="1">
        <v>23761</v>
      </c>
      <c r="D11" s="1">
        <v>468.40699999999998</v>
      </c>
      <c r="E11" s="1">
        <v>2722.7150000000001</v>
      </c>
      <c r="F11">
        <v>-1.2783299999999999E-2</v>
      </c>
      <c r="G11">
        <v>2.3666199999999998E-3</v>
      </c>
      <c r="H11">
        <f t="shared" si="0"/>
        <v>5.5658224693821348</v>
      </c>
    </row>
    <row r="12" spans="1:8" x14ac:dyDescent="0.25">
      <c r="A12" s="1">
        <v>55</v>
      </c>
      <c r="B12" s="1">
        <v>4.233E-2</v>
      </c>
      <c r="C12" s="1">
        <v>55</v>
      </c>
      <c r="D12" s="1">
        <v>477.51960000000003</v>
      </c>
      <c r="E12" s="1">
        <v>2723.6060000000002</v>
      </c>
      <c r="F12">
        <v>-1.2783299999999999E-2</v>
      </c>
      <c r="G12">
        <v>2.2700799999999998E-3</v>
      </c>
      <c r="H12">
        <f t="shared" si="0"/>
        <v>5.4328717766001162</v>
      </c>
    </row>
    <row r="13" spans="1:8" x14ac:dyDescent="0.25">
      <c r="A13" s="1">
        <v>26261</v>
      </c>
      <c r="B13" s="1">
        <v>4.1804000000000001E-2</v>
      </c>
      <c r="C13" s="1">
        <v>26261</v>
      </c>
      <c r="D13" s="1">
        <v>485.37709999999998</v>
      </c>
      <c r="E13" s="1">
        <v>2724.4169999999999</v>
      </c>
      <c r="F13">
        <v>-1.2783299999999999E-2</v>
      </c>
      <c r="G13">
        <v>2.2435200000000001E-3</v>
      </c>
      <c r="H13">
        <f t="shared" si="0"/>
        <v>5.3532225005143061</v>
      </c>
    </row>
    <row r="14" spans="1:8" x14ac:dyDescent="0.25">
      <c r="A14" s="1">
        <v>1115</v>
      </c>
      <c r="B14" s="1">
        <v>4.1262E-2</v>
      </c>
      <c r="C14" s="1">
        <v>1115</v>
      </c>
      <c r="D14" s="1">
        <v>493.23450000000003</v>
      </c>
      <c r="E14" s="1">
        <v>2725.2280000000001</v>
      </c>
      <c r="F14">
        <v>-1.2783299999999999E-2</v>
      </c>
      <c r="G14">
        <v>2.1900800000000001E-3</v>
      </c>
      <c r="H14">
        <f t="shared" si="0"/>
        <v>5.2711504327604857</v>
      </c>
    </row>
    <row r="15" spans="1:8" x14ac:dyDescent="0.25">
      <c r="A15" s="1">
        <v>26259</v>
      </c>
      <c r="B15" s="1">
        <v>4.0807999999999997E-2</v>
      </c>
      <c r="C15" s="1">
        <v>26259</v>
      </c>
      <c r="D15" s="1">
        <v>500.8322</v>
      </c>
      <c r="E15" s="1">
        <v>2725.2190000000001</v>
      </c>
      <c r="F15">
        <v>-1.2783299999999999E-2</v>
      </c>
      <c r="G15">
        <v>1.9859399999999998E-3</v>
      </c>
      <c r="H15">
        <f t="shared" si="0"/>
        <v>5.202403719180718</v>
      </c>
    </row>
    <row r="16" spans="1:8" x14ac:dyDescent="0.25">
      <c r="A16" s="1">
        <v>1114</v>
      </c>
      <c r="B16" s="1">
        <v>4.0357999999999998E-2</v>
      </c>
      <c r="C16" s="1">
        <v>1114</v>
      </c>
      <c r="D16" s="1">
        <v>508.42989999999998</v>
      </c>
      <c r="E16" s="1">
        <v>2725.21</v>
      </c>
      <c r="F16">
        <v>-1.2783299999999999E-2</v>
      </c>
      <c r="G16">
        <v>1.8050200000000001E-3</v>
      </c>
      <c r="H16">
        <f t="shared" si="0"/>
        <v>5.134262703517952</v>
      </c>
    </row>
    <row r="17" spans="1:8" x14ac:dyDescent="0.25">
      <c r="A17" s="1">
        <v>26247</v>
      </c>
      <c r="B17" s="1">
        <v>3.9942999999999999E-2</v>
      </c>
      <c r="C17" s="1">
        <v>26247</v>
      </c>
      <c r="D17" s="1">
        <v>516.99059999999997</v>
      </c>
      <c r="E17" s="1">
        <v>2724.8449999999998</v>
      </c>
      <c r="F17">
        <v>-1.2783299999999999E-2</v>
      </c>
      <c r="G17">
        <v>1.60049E-3</v>
      </c>
      <c r="H17">
        <f t="shared" si="0"/>
        <v>5.0714215446289579</v>
      </c>
    </row>
    <row r="18" spans="1:8" x14ac:dyDescent="0.25">
      <c r="A18" s="1">
        <v>1113</v>
      </c>
      <c r="B18" s="1">
        <v>3.9529000000000002E-2</v>
      </c>
      <c r="C18" s="1">
        <v>1113</v>
      </c>
      <c r="D18" s="1">
        <v>525.55139999999994</v>
      </c>
      <c r="E18" s="1">
        <v>2724.48</v>
      </c>
      <c r="F18">
        <v>-1.2783299999999999E-2</v>
      </c>
      <c r="G18">
        <v>1.40138E-3</v>
      </c>
      <c r="H18">
        <f t="shared" si="0"/>
        <v>5.0087318102192135</v>
      </c>
    </row>
    <row r="19" spans="1:8" x14ac:dyDescent="0.25">
      <c r="A19" s="1">
        <v>26235</v>
      </c>
      <c r="B19" s="1">
        <v>3.9167E-2</v>
      </c>
      <c r="C19" s="1">
        <v>26235</v>
      </c>
      <c r="D19" s="1">
        <v>534.67110000000002</v>
      </c>
      <c r="E19" s="1">
        <v>2724.0680000000002</v>
      </c>
      <c r="F19">
        <v>-1.2783299999999999E-2</v>
      </c>
      <c r="G19">
        <v>1.2446499999999999E-3</v>
      </c>
      <c r="H19">
        <f t="shared" si="0"/>
        <v>4.9539161487305003</v>
      </c>
    </row>
    <row r="20" spans="1:8" x14ac:dyDescent="0.25">
      <c r="A20" s="1">
        <v>1112</v>
      </c>
      <c r="B20" s="1">
        <v>3.8802999999999997E-2</v>
      </c>
      <c r="C20" s="1">
        <v>1112</v>
      </c>
      <c r="D20" s="1">
        <v>543.79079999999999</v>
      </c>
      <c r="E20" s="1">
        <v>2723.6559999999999</v>
      </c>
      <c r="F20">
        <v>-1.2783299999999999E-2</v>
      </c>
      <c r="G20">
        <v>1.0858199999999999E-3</v>
      </c>
      <c r="H20">
        <f t="shared" si="0"/>
        <v>4.898797638283285</v>
      </c>
    </row>
    <row r="21" spans="1:8" x14ac:dyDescent="0.25">
      <c r="A21" s="1">
        <v>26223</v>
      </c>
      <c r="B21" s="1">
        <v>3.8494E-2</v>
      </c>
      <c r="C21" s="1">
        <v>26223</v>
      </c>
      <c r="D21" s="1">
        <v>553.27549999999997</v>
      </c>
      <c r="E21" s="1">
        <v>2723.3029999999999</v>
      </c>
      <c r="F21">
        <v>-1.2783299999999999E-2</v>
      </c>
      <c r="G21">
        <v>9.7501800000000002E-4</v>
      </c>
      <c r="H21">
        <f t="shared" si="0"/>
        <v>4.8520074741948527</v>
      </c>
    </row>
    <row r="22" spans="1:8" x14ac:dyDescent="0.25">
      <c r="A22" s="1">
        <v>1111</v>
      </c>
      <c r="B22" s="1">
        <v>3.8185999999999998E-2</v>
      </c>
      <c r="C22" s="1">
        <v>1111</v>
      </c>
      <c r="D22" s="1">
        <v>562.76009999999997</v>
      </c>
      <c r="E22" s="1">
        <v>2722.95</v>
      </c>
      <c r="F22">
        <v>-1.2783299999999999E-2</v>
      </c>
      <c r="G22">
        <v>8.6283900000000001E-4</v>
      </c>
      <c r="H22">
        <f t="shared" si="0"/>
        <v>4.805368734585671</v>
      </c>
    </row>
    <row r="23" spans="1:8" x14ac:dyDescent="0.25">
      <c r="A23" s="1">
        <v>26211</v>
      </c>
      <c r="B23" s="1">
        <v>3.7930999999999999E-2</v>
      </c>
      <c r="C23" s="1">
        <v>26211</v>
      </c>
      <c r="D23" s="1">
        <v>572.1413</v>
      </c>
      <c r="E23" s="1">
        <v>2722.665</v>
      </c>
      <c r="F23">
        <v>-1.2783299999999999E-2</v>
      </c>
      <c r="G23">
        <v>7.8475699999999997E-4</v>
      </c>
      <c r="H23">
        <f t="shared" si="0"/>
        <v>4.7667554923767703</v>
      </c>
    </row>
    <row r="24" spans="1:8" x14ac:dyDescent="0.25">
      <c r="A24" s="1">
        <v>1110</v>
      </c>
      <c r="B24" s="1">
        <v>3.7673999999999999E-2</v>
      </c>
      <c r="C24" s="1">
        <v>1110</v>
      </c>
      <c r="D24" s="1">
        <v>581.52250000000004</v>
      </c>
      <c r="E24" s="1">
        <v>2722.3789999999999</v>
      </c>
      <c r="F24">
        <v>-1.2783299999999999E-2</v>
      </c>
      <c r="G24">
        <v>7.0525099999999995E-4</v>
      </c>
      <c r="H24">
        <f t="shared" si="0"/>
        <v>4.7278394012093692</v>
      </c>
    </row>
    <row r="25" spans="1:8" x14ac:dyDescent="0.25">
      <c r="A25" s="1">
        <v>26199</v>
      </c>
      <c r="B25" s="1">
        <v>3.7454000000000001E-2</v>
      </c>
      <c r="C25" s="1">
        <v>26199</v>
      </c>
      <c r="D25" s="1">
        <v>591.01499999999999</v>
      </c>
      <c r="E25" s="1">
        <v>2722.1750000000002</v>
      </c>
      <c r="F25">
        <v>-1.2783299999999999E-2</v>
      </c>
      <c r="G25">
        <v>6.4973400000000001E-4</v>
      </c>
      <c r="H25">
        <f t="shared" si="0"/>
        <v>4.6945260157742394</v>
      </c>
    </row>
    <row r="26" spans="1:8" x14ac:dyDescent="0.25">
      <c r="A26" s="1">
        <v>1109</v>
      </c>
      <c r="B26" s="1">
        <v>3.7233000000000002E-2</v>
      </c>
      <c r="C26" s="1">
        <v>1109</v>
      </c>
      <c r="D26" s="1">
        <v>600.50750000000005</v>
      </c>
      <c r="E26" s="1">
        <v>2721.971</v>
      </c>
      <c r="F26">
        <v>-1.3024300000000001E-2</v>
      </c>
      <c r="G26">
        <v>5.9408599999999996E-4</v>
      </c>
      <c r="H26">
        <f t="shared" si="0"/>
        <v>4.642643483546478</v>
      </c>
    </row>
    <row r="27" spans="1:8" x14ac:dyDescent="0.25">
      <c r="A27" s="1">
        <v>26187</v>
      </c>
      <c r="B27" s="1">
        <v>3.7040999999999998E-2</v>
      </c>
      <c r="C27" s="1">
        <v>26187</v>
      </c>
      <c r="D27" s="1">
        <v>610.02729999999997</v>
      </c>
      <c r="E27" s="1">
        <v>2721.8110000000001</v>
      </c>
      <c r="F27">
        <v>-1.32347E-2</v>
      </c>
      <c r="G27">
        <v>5.53007E-4</v>
      </c>
      <c r="H27">
        <f t="shared" si="0"/>
        <v>4.5974907769961924</v>
      </c>
    </row>
    <row r="28" spans="1:8" x14ac:dyDescent="0.25">
      <c r="A28" s="1">
        <v>1108</v>
      </c>
      <c r="B28" s="1">
        <v>3.6849E-2</v>
      </c>
      <c r="C28" s="1">
        <v>1108</v>
      </c>
      <c r="D28" s="1">
        <v>619.5471</v>
      </c>
      <c r="E28" s="1">
        <v>2721.65</v>
      </c>
      <c r="F28">
        <v>-1.3445199999999999E-2</v>
      </c>
      <c r="G28">
        <v>5.1181399999999998E-4</v>
      </c>
      <c r="H28">
        <f t="shared" si="0"/>
        <v>4.5523304282374788</v>
      </c>
    </row>
    <row r="29" spans="1:8" x14ac:dyDescent="0.25">
      <c r="A29" s="1">
        <v>26175</v>
      </c>
      <c r="B29" s="1">
        <v>3.6680999999999998E-2</v>
      </c>
      <c r="C29" s="1">
        <v>26175</v>
      </c>
      <c r="D29" s="1">
        <v>628.97170000000006</v>
      </c>
      <c r="E29" s="1">
        <v>2721.4960000000001</v>
      </c>
      <c r="F29">
        <v>-1.36282E-2</v>
      </c>
      <c r="G29">
        <v>4.7920800000000001E-4</v>
      </c>
      <c r="H29">
        <f t="shared" si="0"/>
        <v>4.5129058742986956</v>
      </c>
    </row>
    <row r="30" spans="1:8" x14ac:dyDescent="0.25">
      <c r="A30" s="1">
        <v>1107</v>
      </c>
      <c r="B30" s="1">
        <v>3.6513999999999998E-2</v>
      </c>
      <c r="C30" s="1">
        <v>1107</v>
      </c>
      <c r="D30" s="1">
        <v>638.39620000000002</v>
      </c>
      <c r="E30" s="1">
        <v>2721.3420000000001</v>
      </c>
      <c r="F30">
        <v>-1.38113E-2</v>
      </c>
      <c r="G30">
        <v>4.4665299999999998E-4</v>
      </c>
      <c r="H30">
        <f t="shared" si="0"/>
        <v>4.4736251026307352</v>
      </c>
    </row>
    <row r="31" spans="1:8" x14ac:dyDescent="0.25">
      <c r="A31" s="1">
        <v>26163</v>
      </c>
      <c r="B31" s="1">
        <v>3.6364E-2</v>
      </c>
      <c r="C31" s="1">
        <v>26163</v>
      </c>
      <c r="D31" s="1">
        <v>647.82749999999999</v>
      </c>
      <c r="E31" s="1">
        <v>2721.2220000000002</v>
      </c>
      <c r="F31">
        <v>-1.41355E-2</v>
      </c>
      <c r="G31">
        <v>4.21686E-4</v>
      </c>
      <c r="H31">
        <f t="shared" si="0"/>
        <v>4.4261353910170138</v>
      </c>
    </row>
    <row r="32" spans="1:8" x14ac:dyDescent="0.25">
      <c r="A32" s="1">
        <v>1106</v>
      </c>
      <c r="B32" s="1">
        <v>3.6213000000000002E-2</v>
      </c>
      <c r="C32" s="1">
        <v>1106</v>
      </c>
      <c r="D32" s="1">
        <v>657.25879999999995</v>
      </c>
      <c r="E32" s="1">
        <v>2721.1019999999999</v>
      </c>
      <c r="F32">
        <v>-1.41355E-2</v>
      </c>
      <c r="G32">
        <v>3.9671699999999999E-4</v>
      </c>
      <c r="H32">
        <f t="shared" si="0"/>
        <v>4.4032702946501754</v>
      </c>
    </row>
    <row r="33" spans="1:8" x14ac:dyDescent="0.25">
      <c r="A33" s="1">
        <v>26151</v>
      </c>
      <c r="B33" s="1">
        <v>3.6080000000000001E-2</v>
      </c>
      <c r="C33" s="1">
        <v>26151</v>
      </c>
      <c r="D33" s="1">
        <v>666.50450000000001</v>
      </c>
      <c r="E33" s="1">
        <v>2720.9630000000002</v>
      </c>
      <c r="F33">
        <v>-1.4418500000000001E-2</v>
      </c>
      <c r="G33">
        <v>3.7535900000000002E-4</v>
      </c>
      <c r="H33">
        <f t="shared" si="0"/>
        <v>4.3615033890563737</v>
      </c>
    </row>
    <row r="34" spans="1:8" x14ac:dyDescent="0.25">
      <c r="A34" s="1">
        <v>1105</v>
      </c>
      <c r="B34" s="1">
        <v>3.5945999999999999E-2</v>
      </c>
      <c r="C34" s="1">
        <v>1105</v>
      </c>
      <c r="D34" s="1">
        <v>675.75030000000004</v>
      </c>
      <c r="E34" s="1">
        <v>2720.8249999999998</v>
      </c>
      <c r="F34">
        <v>-1.4418500000000001E-2</v>
      </c>
      <c r="G34">
        <v>3.5402099999999999E-4</v>
      </c>
      <c r="H34">
        <f t="shared" si="0"/>
        <v>4.3412125088367945</v>
      </c>
    </row>
    <row r="35" spans="1:8" x14ac:dyDescent="0.25">
      <c r="A35" s="1">
        <v>26139</v>
      </c>
      <c r="B35" s="1">
        <v>3.5823000000000001E-2</v>
      </c>
      <c r="C35" s="1">
        <v>26139</v>
      </c>
      <c r="D35" s="1">
        <v>684.95569999999998</v>
      </c>
      <c r="E35" s="1">
        <v>2720.732</v>
      </c>
      <c r="F35">
        <v>-1.4670799999999999E-2</v>
      </c>
      <c r="G35">
        <v>3.3767200000000002E-4</v>
      </c>
      <c r="H35">
        <f t="shared" si="0"/>
        <v>4.3033060060231385</v>
      </c>
    </row>
    <row r="36" spans="1:8" x14ac:dyDescent="0.25">
      <c r="A36" s="1">
        <v>1104</v>
      </c>
      <c r="B36" s="1">
        <v>3.5700000000000003E-2</v>
      </c>
      <c r="C36" s="1">
        <v>1104</v>
      </c>
      <c r="D36" s="1">
        <v>694.16099999999994</v>
      </c>
      <c r="E36" s="1">
        <v>2720.6390000000001</v>
      </c>
      <c r="F36">
        <v>-1.4670799999999999E-2</v>
      </c>
      <c r="G36">
        <v>3.2132999999999999E-4</v>
      </c>
      <c r="H36">
        <f t="shared" si="0"/>
        <v>4.2846807950753156</v>
      </c>
    </row>
    <row r="37" spans="1:8" x14ac:dyDescent="0.25">
      <c r="A37" s="1">
        <v>26127</v>
      </c>
      <c r="B37" s="1">
        <v>3.5586E-2</v>
      </c>
      <c r="C37" s="1">
        <v>26127</v>
      </c>
      <c r="D37" s="1">
        <v>703.2192</v>
      </c>
      <c r="E37" s="1">
        <v>2720.5770000000002</v>
      </c>
      <c r="F37">
        <v>-1.4782099999999999E-2</v>
      </c>
      <c r="G37">
        <v>3.08523E-4</v>
      </c>
      <c r="H37">
        <f t="shared" si="0"/>
        <v>4.258912626459507</v>
      </c>
    </row>
    <row r="38" spans="1:8" x14ac:dyDescent="0.25">
      <c r="A38" s="1">
        <v>1019</v>
      </c>
      <c r="B38" s="1">
        <v>3.5472999999999998E-2</v>
      </c>
      <c r="C38" s="1">
        <v>1019</v>
      </c>
      <c r="D38" s="1">
        <v>712.27750000000003</v>
      </c>
      <c r="E38" s="1">
        <v>2720.5149999999999</v>
      </c>
      <c r="F38">
        <v>-1.48935E-2</v>
      </c>
      <c r="G38">
        <v>2.9568699999999999E-4</v>
      </c>
      <c r="H38">
        <f t="shared" si="0"/>
        <v>4.2332882401145184</v>
      </c>
    </row>
    <row r="39" spans="1:8" x14ac:dyDescent="0.25">
      <c r="A39" s="1">
        <v>26115</v>
      </c>
      <c r="B39" s="1">
        <v>3.5366000000000002E-2</v>
      </c>
      <c r="C39" s="1">
        <v>26115</v>
      </c>
      <c r="D39" s="1">
        <v>721.30380000000002</v>
      </c>
      <c r="E39" s="1">
        <v>2720.527</v>
      </c>
      <c r="F39">
        <v>-1.49932E-2</v>
      </c>
      <c r="G39">
        <v>2.8672499999999999E-4</v>
      </c>
      <c r="H39">
        <f t="shared" si="0"/>
        <v>4.2094665390312036</v>
      </c>
    </row>
    <row r="40" spans="1:8" x14ac:dyDescent="0.25">
      <c r="A40" s="1">
        <v>1103</v>
      </c>
      <c r="B40" s="1">
        <v>3.5258999999999999E-2</v>
      </c>
      <c r="C40" s="1">
        <v>1103</v>
      </c>
      <c r="D40" s="1">
        <v>730.33010000000002</v>
      </c>
      <c r="E40" s="1">
        <v>2720.538</v>
      </c>
      <c r="F40">
        <v>-1.50931E-2</v>
      </c>
      <c r="G40">
        <v>2.7769999999999997E-4</v>
      </c>
      <c r="H40">
        <f t="shared" si="0"/>
        <v>4.1856295535310304</v>
      </c>
    </row>
    <row r="41" spans="1:8" x14ac:dyDescent="0.25">
      <c r="A41" s="1">
        <v>26103</v>
      </c>
      <c r="B41" s="1">
        <v>3.5159000000000003E-2</v>
      </c>
      <c r="C41" s="1">
        <v>26103</v>
      </c>
      <c r="D41" s="1">
        <v>739.07280000000003</v>
      </c>
      <c r="E41" s="1">
        <v>2720.5340000000001</v>
      </c>
      <c r="F41">
        <v>-1.51798E-2</v>
      </c>
      <c r="G41">
        <v>2.6929800000000001E-4</v>
      </c>
      <c r="H41">
        <f t="shared" si="0"/>
        <v>4.1638613108982119</v>
      </c>
    </row>
    <row r="42" spans="1:8" x14ac:dyDescent="0.25">
      <c r="A42" s="1">
        <v>1102</v>
      </c>
      <c r="B42" s="1">
        <v>3.5060000000000001E-2</v>
      </c>
      <c r="C42" s="1">
        <v>1102</v>
      </c>
      <c r="D42" s="1">
        <v>747.81539999999995</v>
      </c>
      <c r="E42" s="1">
        <v>2720.53</v>
      </c>
      <c r="F42">
        <v>-1.5266500000000001E-2</v>
      </c>
      <c r="G42">
        <v>2.6087499999999998E-4</v>
      </c>
      <c r="H42">
        <f t="shared" si="0"/>
        <v>4.1422444927446431</v>
      </c>
    </row>
    <row r="43" spans="1:8" x14ac:dyDescent="0.25">
      <c r="A43" s="1">
        <v>26091</v>
      </c>
      <c r="B43" s="1">
        <v>3.4964000000000002E-2</v>
      </c>
      <c r="C43" s="1">
        <v>26091</v>
      </c>
      <c r="D43" s="1">
        <v>756.46900000000005</v>
      </c>
      <c r="E43" s="1">
        <v>2720.5590000000002</v>
      </c>
      <c r="F43">
        <v>-1.53435E-2</v>
      </c>
      <c r="G43">
        <v>2.5407899999999999E-4</v>
      </c>
      <c r="H43">
        <f t="shared" si="0"/>
        <v>4.1218232422464194</v>
      </c>
    </row>
    <row r="44" spans="1:8" x14ac:dyDescent="0.25">
      <c r="A44" s="1">
        <v>1101</v>
      </c>
      <c r="B44" s="1">
        <v>3.4867000000000002E-2</v>
      </c>
      <c r="C44" s="1">
        <v>1101</v>
      </c>
      <c r="D44" s="1">
        <v>765.12260000000003</v>
      </c>
      <c r="E44" s="1">
        <v>2720.587</v>
      </c>
      <c r="F44">
        <v>-1.54205E-2</v>
      </c>
      <c r="G44">
        <v>2.4721999999999998E-4</v>
      </c>
      <c r="H44">
        <f t="shared" si="0"/>
        <v>4.101250567268945</v>
      </c>
    </row>
    <row r="45" spans="1:8" x14ac:dyDescent="0.25">
      <c r="A45" s="1">
        <v>26079</v>
      </c>
      <c r="B45" s="1">
        <v>3.4773999999999999E-2</v>
      </c>
      <c r="C45" s="1">
        <v>26079</v>
      </c>
      <c r="D45" s="1">
        <v>773.67139999999995</v>
      </c>
      <c r="E45" s="1">
        <v>2720.623</v>
      </c>
      <c r="F45">
        <v>-1.5488399999999999E-2</v>
      </c>
      <c r="G45">
        <v>2.41031E-4</v>
      </c>
      <c r="H45">
        <f t="shared" si="0"/>
        <v>4.081979031175492</v>
      </c>
    </row>
    <row r="46" spans="1:8" x14ac:dyDescent="0.25">
      <c r="A46" s="1">
        <v>1100</v>
      </c>
      <c r="B46" s="1">
        <v>3.4680999999999997E-2</v>
      </c>
      <c r="C46" s="1">
        <v>1100</v>
      </c>
      <c r="D46" s="1">
        <v>782.22029999999995</v>
      </c>
      <c r="E46" s="1">
        <v>2720.66</v>
      </c>
      <c r="F46">
        <v>-1.55564E-2</v>
      </c>
      <c r="G46">
        <v>2.3484999999999999E-4</v>
      </c>
      <c r="H46">
        <f t="shared" si="0"/>
        <v>4.0626998528736102</v>
      </c>
    </row>
    <row r="47" spans="1:8" x14ac:dyDescent="0.25">
      <c r="A47" s="1">
        <v>26067</v>
      </c>
      <c r="B47" s="1">
        <v>3.4588000000000001E-2</v>
      </c>
      <c r="C47" s="1">
        <v>26067</v>
      </c>
      <c r="D47" s="1">
        <v>790.71119999999996</v>
      </c>
      <c r="E47" s="1">
        <v>2720.701</v>
      </c>
      <c r="F47">
        <v>-1.5616100000000001E-2</v>
      </c>
      <c r="G47">
        <v>2.2908499999999999E-4</v>
      </c>
      <c r="H47">
        <f t="shared" si="0"/>
        <v>4.0440549778713191</v>
      </c>
    </row>
    <row r="48" spans="1:8" x14ac:dyDescent="0.25">
      <c r="A48" s="1">
        <v>1099</v>
      </c>
      <c r="B48" s="1">
        <v>3.4495999999999999E-2</v>
      </c>
      <c r="C48" s="1">
        <v>1099</v>
      </c>
      <c r="D48" s="1">
        <v>799.202</v>
      </c>
      <c r="E48" s="1">
        <v>2720.7420000000002</v>
      </c>
      <c r="F48">
        <v>-1.56758E-2</v>
      </c>
      <c r="G48">
        <v>2.23334E-4</v>
      </c>
      <c r="H48">
        <f t="shared" si="0"/>
        <v>4.0255615273482768</v>
      </c>
    </row>
    <row r="49" spans="1:8" x14ac:dyDescent="0.25">
      <c r="A49" s="1">
        <v>26055</v>
      </c>
      <c r="B49" s="1">
        <v>3.4403999999999997E-2</v>
      </c>
      <c r="C49" s="1">
        <v>26055</v>
      </c>
      <c r="D49" s="1">
        <v>807.66840000000002</v>
      </c>
      <c r="E49" s="1">
        <v>2720.788</v>
      </c>
      <c r="F49">
        <v>-1.57278E-2</v>
      </c>
      <c r="G49">
        <v>2.17856E-4</v>
      </c>
      <c r="H49">
        <f t="shared" si="0"/>
        <v>4.0076565268742526</v>
      </c>
    </row>
    <row r="50" spans="1:8" x14ac:dyDescent="0.25">
      <c r="A50" s="1">
        <v>1098</v>
      </c>
      <c r="B50" s="1">
        <v>3.4311000000000001E-2</v>
      </c>
      <c r="C50" s="1">
        <v>1098</v>
      </c>
      <c r="D50" s="1">
        <v>816.13480000000004</v>
      </c>
      <c r="E50" s="1">
        <v>2720.8339999999998</v>
      </c>
      <c r="F50">
        <v>-1.5779899999999999E-2</v>
      </c>
      <c r="G50">
        <v>2.1238299999999999E-4</v>
      </c>
      <c r="H50">
        <f t="shared" si="0"/>
        <v>3.9895924597125494</v>
      </c>
    </row>
    <row r="51" spans="1:8" x14ac:dyDescent="0.25">
      <c r="A51" s="1">
        <v>26043</v>
      </c>
      <c r="B51" s="1">
        <v>3.4217999999999998E-2</v>
      </c>
      <c r="C51" s="1">
        <v>26043</v>
      </c>
      <c r="D51" s="1">
        <v>824.56209999999999</v>
      </c>
      <c r="E51" s="1">
        <v>2720.8719999999998</v>
      </c>
      <c r="F51">
        <v>-1.5824399999999999E-2</v>
      </c>
      <c r="G51">
        <v>2.0687400000000001E-4</v>
      </c>
      <c r="H51">
        <f t="shared" si="0"/>
        <v>3.9721092003914333</v>
      </c>
    </row>
    <row r="52" spans="1:8" x14ac:dyDescent="0.25">
      <c r="A52" s="1">
        <v>1097</v>
      </c>
      <c r="B52" s="1">
        <v>3.4125000000000003E-2</v>
      </c>
      <c r="C52" s="1">
        <v>1097</v>
      </c>
      <c r="D52" s="1">
        <v>832.98950000000002</v>
      </c>
      <c r="E52" s="1">
        <v>2720.9110000000001</v>
      </c>
      <c r="F52">
        <v>-1.5868899999999998E-2</v>
      </c>
      <c r="G52">
        <v>2.01373E-4</v>
      </c>
      <c r="H52">
        <f t="shared" si="0"/>
        <v>3.9546259410703177</v>
      </c>
    </row>
    <row r="53" spans="1:8" x14ac:dyDescent="0.25">
      <c r="A53" s="1">
        <v>26031</v>
      </c>
      <c r="B53" s="1">
        <v>3.4029999999999998E-2</v>
      </c>
      <c r="C53" s="1">
        <v>26031</v>
      </c>
      <c r="D53" s="1">
        <v>841.42859999999996</v>
      </c>
      <c r="E53" s="1">
        <v>2720.953</v>
      </c>
      <c r="F53">
        <v>-1.5906300000000002E-2</v>
      </c>
      <c r="G53">
        <v>1.9595600000000001E-4</v>
      </c>
      <c r="H53">
        <f t="shared" si="0"/>
        <v>3.9373824295891442</v>
      </c>
    </row>
    <row r="54" spans="1:8" x14ac:dyDescent="0.25">
      <c r="A54" s="1">
        <v>1096</v>
      </c>
      <c r="B54" s="1">
        <v>3.3935E-2</v>
      </c>
      <c r="C54" s="1">
        <v>1096</v>
      </c>
      <c r="D54" s="1">
        <v>849.86760000000004</v>
      </c>
      <c r="E54" s="1">
        <v>2720.9949999999999</v>
      </c>
      <c r="F54">
        <v>-1.5943599999999999E-2</v>
      </c>
      <c r="G54">
        <v>1.9052699999999999E-4</v>
      </c>
      <c r="H54">
        <f t="shared" si="0"/>
        <v>3.9201465603164007</v>
      </c>
    </row>
    <row r="55" spans="1:8" x14ac:dyDescent="0.25">
      <c r="A55" s="1">
        <v>26019</v>
      </c>
      <c r="B55" s="1">
        <v>3.3836999999999999E-2</v>
      </c>
      <c r="C55" s="1">
        <v>26019</v>
      </c>
      <c r="D55" s="1">
        <v>858.30939999999998</v>
      </c>
      <c r="E55" s="1">
        <v>2721.0419999999999</v>
      </c>
      <c r="F55">
        <v>-1.59737E-2</v>
      </c>
      <c r="G55">
        <v>1.85129E-4</v>
      </c>
      <c r="H55">
        <f t="shared" si="0"/>
        <v>3.903006656612777</v>
      </c>
    </row>
    <row r="56" spans="1:8" x14ac:dyDescent="0.25">
      <c r="A56" s="1">
        <v>1095</v>
      </c>
      <c r="B56" s="1">
        <v>3.3739999999999999E-2</v>
      </c>
      <c r="C56" s="1">
        <v>1095</v>
      </c>
      <c r="D56" s="1">
        <v>866.75130000000001</v>
      </c>
      <c r="E56" s="1">
        <v>2721.0880000000002</v>
      </c>
      <c r="F56">
        <v>-1.6003699999999999E-2</v>
      </c>
      <c r="G56">
        <v>1.7973800000000001E-4</v>
      </c>
      <c r="H56">
        <f t="shared" si="0"/>
        <v>3.8860258195968331</v>
      </c>
    </row>
    <row r="57" spans="1:8" x14ac:dyDescent="0.25">
      <c r="A57" s="1">
        <v>26007</v>
      </c>
      <c r="B57" s="1">
        <v>3.3639000000000002E-2</v>
      </c>
      <c r="C57" s="1">
        <v>26007</v>
      </c>
      <c r="D57" s="1">
        <v>875.20349999999996</v>
      </c>
      <c r="E57" s="1">
        <v>2721.145</v>
      </c>
      <c r="F57">
        <v>-1.60264E-2</v>
      </c>
      <c r="G57">
        <v>1.7442599999999999E-4</v>
      </c>
      <c r="H57">
        <f t="shared" si="0"/>
        <v>3.8689971658791888</v>
      </c>
    </row>
    <row r="58" spans="1:8" x14ac:dyDescent="0.25">
      <c r="A58" s="1">
        <v>1094</v>
      </c>
      <c r="B58" s="1">
        <v>3.3537999999999998E-2</v>
      </c>
      <c r="C58" s="1">
        <v>1094</v>
      </c>
      <c r="D58" s="1">
        <v>883.6558</v>
      </c>
      <c r="E58" s="1">
        <v>2721.201</v>
      </c>
      <c r="F58">
        <v>-1.60492E-2</v>
      </c>
      <c r="G58">
        <v>1.6912000000000001E-4</v>
      </c>
      <c r="H58">
        <f t="shared" si="0"/>
        <v>3.8519608699531149</v>
      </c>
    </row>
    <row r="59" spans="1:8" x14ac:dyDescent="0.25">
      <c r="A59" s="1">
        <v>1093</v>
      </c>
      <c r="B59" s="1">
        <v>3.3328999999999998E-2</v>
      </c>
      <c r="C59" s="1">
        <v>1093</v>
      </c>
      <c r="D59" s="1">
        <v>900.62729999999999</v>
      </c>
      <c r="E59" s="1">
        <v>2721.3789999999999</v>
      </c>
      <c r="F59">
        <v>-1.6079599999999999E-2</v>
      </c>
      <c r="G59">
        <v>1.59137E-4</v>
      </c>
      <c r="H59">
        <f t="shared" si="0"/>
        <v>3.8179899224273894</v>
      </c>
    </row>
    <row r="60" spans="1:8" x14ac:dyDescent="0.25">
      <c r="A60" s="1">
        <v>1092</v>
      </c>
      <c r="B60" s="1">
        <v>3.3106999999999998E-2</v>
      </c>
      <c r="C60" s="1">
        <v>1092</v>
      </c>
      <c r="D60" s="1">
        <v>917.81619999999998</v>
      </c>
      <c r="E60" s="1">
        <v>2721.759</v>
      </c>
      <c r="F60">
        <v>-1.60947E-2</v>
      </c>
      <c r="G60">
        <v>1.51256E-4</v>
      </c>
      <c r="H60">
        <f t="shared" si="0"/>
        <v>3.783219714561012</v>
      </c>
    </row>
    <row r="61" spans="1:8" x14ac:dyDescent="0.25">
      <c r="A61" s="1">
        <v>25971</v>
      </c>
      <c r="B61" s="1">
        <v>3.2992E-2</v>
      </c>
      <c r="C61" s="1">
        <v>25971</v>
      </c>
      <c r="D61" s="1">
        <v>926.41420000000005</v>
      </c>
      <c r="E61" s="1">
        <v>2721.9780000000001</v>
      </c>
      <c r="F61">
        <v>-1.6093900000000001E-2</v>
      </c>
      <c r="G61">
        <v>1.4709099999999999E-4</v>
      </c>
      <c r="H61">
        <f t="shared" si="0"/>
        <v>3.7658670371146243</v>
      </c>
    </row>
    <row r="62" spans="1:8" x14ac:dyDescent="0.25">
      <c r="A62" s="1">
        <v>1091</v>
      </c>
      <c r="B62" s="1">
        <v>3.2876000000000002E-2</v>
      </c>
      <c r="C62" s="1">
        <v>1091</v>
      </c>
      <c r="D62" s="1">
        <v>935.01220000000001</v>
      </c>
      <c r="E62" s="1">
        <v>2722.1970000000001</v>
      </c>
      <c r="F62">
        <v>-1.6093199999999998E-2</v>
      </c>
      <c r="G62">
        <v>1.42879E-4</v>
      </c>
      <c r="H62">
        <f t="shared" si="0"/>
        <v>3.7483552929805581</v>
      </c>
    </row>
    <row r="63" spans="1:8" x14ac:dyDescent="0.25">
      <c r="A63" s="1">
        <v>25959</v>
      </c>
      <c r="B63" s="1">
        <v>3.2758000000000002E-2</v>
      </c>
      <c r="C63" s="1">
        <v>25959</v>
      </c>
      <c r="D63" s="1">
        <v>943.40290000000005</v>
      </c>
      <c r="E63" s="1">
        <v>2722.2289999999998</v>
      </c>
      <c r="F63">
        <v>-1.60842E-2</v>
      </c>
      <c r="G63">
        <v>1.3604099999999999E-4</v>
      </c>
      <c r="H63">
        <f t="shared" si="0"/>
        <v>3.7311750031875794</v>
      </c>
    </row>
    <row r="64" spans="1:8" x14ac:dyDescent="0.25">
      <c r="A64" s="1">
        <v>1090</v>
      </c>
      <c r="B64" s="1">
        <v>3.2639000000000001E-2</v>
      </c>
      <c r="C64" s="1">
        <v>1090</v>
      </c>
      <c r="D64" s="1">
        <v>951.79359999999997</v>
      </c>
      <c r="E64" s="1">
        <v>2722.2620000000002</v>
      </c>
      <c r="F64">
        <v>-1.6075200000000001E-2</v>
      </c>
      <c r="G64">
        <v>1.2921100000000001E-4</v>
      </c>
      <c r="H64">
        <f t="shared" si="0"/>
        <v>3.7138432889153501</v>
      </c>
    </row>
    <row r="65" spans="1:8" x14ac:dyDescent="0.25">
      <c r="A65" s="1">
        <v>25947</v>
      </c>
      <c r="B65" s="1">
        <v>3.2516999999999997E-2</v>
      </c>
      <c r="C65" s="1">
        <v>25947</v>
      </c>
      <c r="D65" s="1">
        <v>960.06709999999998</v>
      </c>
      <c r="E65" s="1">
        <v>2722.1469999999999</v>
      </c>
      <c r="F65">
        <v>-1.6058099999999999E-2</v>
      </c>
      <c r="G65">
        <v>1.2077499999999999E-4</v>
      </c>
      <c r="H65">
        <f t="shared" si="0"/>
        <v>3.696676320088101</v>
      </c>
    </row>
    <row r="66" spans="1:8" x14ac:dyDescent="0.25">
      <c r="A66" s="1">
        <v>1089</v>
      </c>
      <c r="B66" s="1">
        <v>3.2393999999999999E-2</v>
      </c>
      <c r="C66" s="1">
        <v>1089</v>
      </c>
      <c r="D66" s="1">
        <v>968.34079999999994</v>
      </c>
      <c r="E66" s="1">
        <v>2722.0329999999999</v>
      </c>
      <c r="F66">
        <v>-1.6041E-2</v>
      </c>
      <c r="G66">
        <v>1.12402E-4</v>
      </c>
      <c r="H66">
        <f t="shared" si="0"/>
        <v>3.6793579267816008</v>
      </c>
    </row>
    <row r="67" spans="1:8" x14ac:dyDescent="0.25">
      <c r="A67" s="1">
        <v>25935</v>
      </c>
      <c r="B67" s="1">
        <v>3.2264000000000001E-2</v>
      </c>
      <c r="C67" s="1">
        <v>25935</v>
      </c>
      <c r="D67" s="1">
        <v>976.74810000000002</v>
      </c>
      <c r="E67" s="1">
        <v>2722.0680000000002</v>
      </c>
      <c r="F67">
        <v>-1.6015100000000001E-2</v>
      </c>
      <c r="G67">
        <v>1.05363E-4</v>
      </c>
      <c r="H67">
        <f t="shared" ref="H67:H80" si="1">B67*151.42447925059+F67*76.422084287888</f>
        <v>3.6616520764620804</v>
      </c>
    </row>
    <row r="68" spans="1:8" x14ac:dyDescent="0.25">
      <c r="A68" s="1">
        <v>1088</v>
      </c>
      <c r="B68" s="1">
        <v>3.2133000000000002E-2</v>
      </c>
      <c r="C68" s="1">
        <v>1088</v>
      </c>
      <c r="D68" s="1">
        <v>985.15549999999996</v>
      </c>
      <c r="E68" s="1">
        <v>2722.1039999999998</v>
      </c>
      <c r="F68">
        <v>-1.5989099999999999E-2</v>
      </c>
      <c r="G68" s="2">
        <v>9.8266399999999998E-5</v>
      </c>
      <c r="H68">
        <f t="shared" si="1"/>
        <v>3.6438024438717385</v>
      </c>
    </row>
    <row r="69" spans="1:8" x14ac:dyDescent="0.25">
      <c r="A69" s="1">
        <v>25923</v>
      </c>
      <c r="B69" s="1">
        <v>3.1996999999999998E-2</v>
      </c>
      <c r="C69" s="1">
        <v>25923</v>
      </c>
      <c r="D69" s="1">
        <v>993.48969999999997</v>
      </c>
      <c r="E69" s="1">
        <v>2722.02</v>
      </c>
      <c r="F69">
        <v>-1.5954400000000001E-2</v>
      </c>
      <c r="G69" s="2">
        <v>9.0059699999999994E-5</v>
      </c>
      <c r="H69">
        <f t="shared" si="1"/>
        <v>3.6258605610184476</v>
      </c>
    </row>
    <row r="70" spans="1:8" x14ac:dyDescent="0.25">
      <c r="A70" s="1">
        <v>1087</v>
      </c>
      <c r="B70" s="1">
        <v>3.1861E-2</v>
      </c>
      <c r="C70" s="1">
        <v>1087</v>
      </c>
      <c r="D70" s="1">
        <v>1001.824</v>
      </c>
      <c r="E70" s="1">
        <v>2721.9360000000001</v>
      </c>
      <c r="F70">
        <v>-1.5919599999999999E-2</v>
      </c>
      <c r="G70" s="2">
        <v>8.1907E-5</v>
      </c>
      <c r="H70">
        <f t="shared" si="1"/>
        <v>3.6079263203735863</v>
      </c>
    </row>
    <row r="71" spans="1:8" x14ac:dyDescent="0.25">
      <c r="A71" s="1">
        <v>25911</v>
      </c>
      <c r="B71" s="1">
        <v>3.1717000000000002E-2</v>
      </c>
      <c r="C71" s="1">
        <v>25911</v>
      </c>
      <c r="D71" s="1">
        <v>1010.245</v>
      </c>
      <c r="E71" s="1">
        <v>2721.9720000000002</v>
      </c>
      <c r="F71">
        <v>-1.5875199999999999E-2</v>
      </c>
      <c r="G71" s="2">
        <v>7.4422600000000001E-5</v>
      </c>
      <c r="H71">
        <f t="shared" si="1"/>
        <v>3.5895143359038841</v>
      </c>
    </row>
    <row r="72" spans="1:8" x14ac:dyDescent="0.25">
      <c r="A72" s="1">
        <v>1086</v>
      </c>
      <c r="B72" s="1">
        <v>3.1572000000000003E-2</v>
      </c>
      <c r="C72" s="1">
        <v>1086</v>
      </c>
      <c r="D72" s="1">
        <v>1018.6660000000001</v>
      </c>
      <c r="E72" s="1">
        <v>2722.0079999999998</v>
      </c>
      <c r="F72">
        <v>-1.5830799999999999E-2</v>
      </c>
      <c r="G72" s="2">
        <v>6.6911999999999999E-5</v>
      </c>
      <c r="H72">
        <f t="shared" si="1"/>
        <v>3.5709509269549309</v>
      </c>
    </row>
    <row r="73" spans="1:8" x14ac:dyDescent="0.25">
      <c r="A73" s="1">
        <v>25899</v>
      </c>
      <c r="B73" s="1">
        <v>3.1419999999999997E-2</v>
      </c>
      <c r="C73" s="1">
        <v>25899</v>
      </c>
      <c r="D73" s="1">
        <v>1027.087</v>
      </c>
      <c r="E73" s="1">
        <v>2722.0410000000002</v>
      </c>
      <c r="F73">
        <v>-1.5722400000000001E-2</v>
      </c>
      <c r="G73" s="2">
        <v>5.9063900000000002E-5</v>
      </c>
      <c r="H73">
        <f t="shared" si="1"/>
        <v>3.5562185600456466</v>
      </c>
    </row>
    <row r="74" spans="1:8" x14ac:dyDescent="0.25">
      <c r="A74" s="1">
        <v>1085</v>
      </c>
      <c r="B74" s="1">
        <v>3.1267999999999997E-2</v>
      </c>
      <c r="C74" s="1">
        <v>1085</v>
      </c>
      <c r="D74" s="1">
        <v>1035.5070000000001</v>
      </c>
      <c r="E74" s="1">
        <v>2722.0729999999999</v>
      </c>
      <c r="F74">
        <v>-1.5722400000000001E-2</v>
      </c>
      <c r="G74" s="2">
        <v>5.1213700000000001E-5</v>
      </c>
      <c r="H74">
        <f t="shared" si="1"/>
        <v>3.5332020391995567</v>
      </c>
    </row>
    <row r="75" spans="1:8" x14ac:dyDescent="0.25">
      <c r="A75" s="1">
        <v>25887</v>
      </c>
      <c r="B75" s="1">
        <v>3.1108E-2</v>
      </c>
      <c r="C75" s="1">
        <v>25887</v>
      </c>
      <c r="D75" s="1">
        <v>1043.9269999999999</v>
      </c>
      <c r="E75" s="1">
        <v>2722.1010000000001</v>
      </c>
      <c r="F75">
        <v>-1.5593600000000001E-2</v>
      </c>
      <c r="G75" s="2">
        <v>4.3015900000000003E-5</v>
      </c>
      <c r="H75">
        <f t="shared" si="1"/>
        <v>3.5188172869757439</v>
      </c>
    </row>
    <row r="76" spans="1:8" x14ac:dyDescent="0.25">
      <c r="A76" s="1">
        <v>1084</v>
      </c>
      <c r="B76" s="1">
        <v>3.0948E-2</v>
      </c>
      <c r="C76" s="1">
        <v>1084</v>
      </c>
      <c r="D76" s="1">
        <v>1052.346</v>
      </c>
      <c r="E76" s="1">
        <v>2722.1280000000002</v>
      </c>
      <c r="F76">
        <v>-1.5593600000000001E-2</v>
      </c>
      <c r="G76" s="2">
        <v>3.4816300000000001E-5</v>
      </c>
      <c r="H76">
        <f t="shared" si="1"/>
        <v>3.4945893702956488</v>
      </c>
    </row>
    <row r="77" spans="1:8" x14ac:dyDescent="0.25">
      <c r="A77" s="1">
        <v>25875</v>
      </c>
      <c r="B77" s="1">
        <v>3.0779999999999998E-2</v>
      </c>
      <c r="C77" s="1">
        <v>25875</v>
      </c>
      <c r="D77" s="1">
        <v>1060.7619999999999</v>
      </c>
      <c r="E77" s="1">
        <v>2722.1460000000002</v>
      </c>
      <c r="F77">
        <v>-1.54439E-2</v>
      </c>
      <c r="G77" s="2">
        <v>2.62772E-5</v>
      </c>
      <c r="H77">
        <f t="shared" si="1"/>
        <v>3.4805904437994468</v>
      </c>
    </row>
    <row r="78" spans="1:8" x14ac:dyDescent="0.25">
      <c r="A78" s="1">
        <v>1083</v>
      </c>
      <c r="B78" s="1">
        <v>3.0612E-2</v>
      </c>
      <c r="C78" s="1">
        <v>1083</v>
      </c>
      <c r="D78" s="1">
        <v>1069.1790000000001</v>
      </c>
      <c r="E78" s="1">
        <v>2722.163</v>
      </c>
      <c r="F78">
        <v>-1.54439E-2</v>
      </c>
      <c r="G78" s="2">
        <v>1.77371E-5</v>
      </c>
      <c r="H78">
        <f t="shared" si="1"/>
        <v>3.4551511312853473</v>
      </c>
    </row>
    <row r="79" spans="1:8" x14ac:dyDescent="0.25">
      <c r="A79" s="1">
        <v>25863</v>
      </c>
      <c r="B79" s="1">
        <v>3.0435E-2</v>
      </c>
      <c r="C79" s="1">
        <v>25863</v>
      </c>
      <c r="D79" s="1">
        <v>1077.5889999999999</v>
      </c>
      <c r="E79" s="1">
        <v>2722.1669999999999</v>
      </c>
      <c r="F79">
        <v>-1.6087199999999999E-2</v>
      </c>
      <c r="G79" s="2">
        <v>8.8866700000000004E-6</v>
      </c>
      <c r="H79">
        <f t="shared" si="1"/>
        <v>3.3791866716355945</v>
      </c>
    </row>
    <row r="80" spans="1:8" ht="14.45" customHeight="1" x14ac:dyDescent="0.25">
      <c r="A80" s="1">
        <v>25983</v>
      </c>
      <c r="B80" s="1">
        <v>3.0217999999999998E-2</v>
      </c>
      <c r="C80" s="1">
        <v>25863</v>
      </c>
      <c r="D80" s="1">
        <v>1077.5889999999999</v>
      </c>
      <c r="E80" s="1">
        <v>2722.1669999999999</v>
      </c>
      <c r="F80">
        <v>-1.6087199999999999E-2</v>
      </c>
      <c r="G80">
        <v>1.55205E-4</v>
      </c>
      <c r="H80">
        <f t="shared" si="1"/>
        <v>3.3463275596382167</v>
      </c>
    </row>
    <row r="81" spans="1:8" x14ac:dyDescent="0.25">
      <c r="A81" s="1">
        <v>304</v>
      </c>
      <c r="B81" s="1">
        <v>3.0259000000000001E-2</v>
      </c>
      <c r="C81" s="1">
        <v>304</v>
      </c>
      <c r="D81" s="1">
        <v>1086</v>
      </c>
      <c r="E81" s="1">
        <v>2722.1709999999998</v>
      </c>
      <c r="F81">
        <v>-1.52724E-2</v>
      </c>
      <c r="G81" s="2">
        <v>3.3344800000000001E-8</v>
      </c>
      <c r="H81">
        <f>B81*151.42447925059+F81*76.422084287888</f>
        <v>3.4148046775652618</v>
      </c>
    </row>
  </sheetData>
  <sortState xmlns:xlrd2="http://schemas.microsoft.com/office/spreadsheetml/2017/richdata2" ref="A2:E82">
    <sortCondition ref="D2:D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267</vt:lpstr>
      <vt:lpstr>2799</vt:lpstr>
      <vt:lpstr>23307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Ayan Basu</cp:lastModifiedBy>
  <cp:revision/>
  <dcterms:created xsi:type="dcterms:W3CDTF">2023-08-01T14:25:45Z</dcterms:created>
  <dcterms:modified xsi:type="dcterms:W3CDTF">2023-12-05T14:14:21Z</dcterms:modified>
  <cp:category/>
  <cp:contentStatus/>
</cp:coreProperties>
</file>